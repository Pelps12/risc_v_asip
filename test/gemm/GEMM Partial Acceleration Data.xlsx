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0" autoFilterDateGrouping="1"/>
  </bookViews>
  <sheets>
    <sheet name="Summary" sheetId="1" state="visible" r:id="rId1"/>
    <sheet name="GeMM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+0.00%;-0.00%;0.00%"/>
    <numFmt numFmtId="165" formatCode="0.00&quot;x&quot;"/>
  </numFmts>
  <fonts count="4">
    <font>
      <name val="Aptos Narrow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4D7B"/>
      </patternFill>
    </fill>
    <fill>
      <patternFill patternType="solid">
        <fgColor rgb="00C00000"/>
      </patternFill>
    </fill>
    <fill>
      <patternFill patternType="solid">
        <fgColor rgb="00D9E1F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00444444"/>
      </left>
      <right style="medium">
        <color rgb="00444444"/>
      </right>
      <top style="medium">
        <color rgb="00444444"/>
      </top>
      <bottom style="medium">
        <color rgb="00444444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medium">
        <color rgb="00444444"/>
      </top>
      <bottom/>
      <diagonal/>
    </border>
    <border>
      <left/>
      <right style="medium">
        <color rgb="00444444"/>
      </right>
      <top style="medium">
        <color rgb="00444444"/>
      </top>
      <bottom/>
      <diagonal/>
    </border>
    <border>
      <left/>
      <right/>
      <top style="medium">
        <color rgb="00444444"/>
      </top>
      <bottom style="medium">
        <color rgb="00444444"/>
      </bottom>
      <diagonal/>
    </border>
    <border>
      <left/>
      <right style="medium">
        <color rgb="00444444"/>
      </right>
      <top style="medium">
        <color rgb="00444444"/>
      </top>
      <bottom style="medium">
        <color rgb="0044444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0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wrapText="1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" fillId="2" borderId="6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5" borderId="7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  <xf numFmtId="164" fontId="3" fillId="5" borderId="7" applyAlignment="1" pivotButton="0" quotePrefix="0" xfId="0">
      <alignment horizontal="center" vertical="center"/>
    </xf>
    <xf numFmtId="165" fontId="3" fillId="5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20" customWidth="1" min="5" max="5"/>
    <col width="12" customWidth="1" min="6" max="6"/>
  </cols>
  <sheetData>
    <row r="1" ht="20" customHeight="1">
      <c r="A1" s="10" t="inlineStr">
        <is>
          <t>BASELINE</t>
        </is>
      </c>
    </row>
    <row r="2" ht="30" customHeight="1">
      <c r="A2" s="11" t="inlineStr">
        <is>
          <t># Read Ports</t>
        </is>
      </c>
      <c r="B2" s="11" t="inlineStr">
        <is>
          <t># Unrolls</t>
        </is>
      </c>
      <c r="C2" s="11" t="inlineStr">
        <is>
          <t># Cycles</t>
        </is>
      </c>
      <c r="D2" s="11" t="inlineStr">
        <is>
          <t>Area</t>
        </is>
      </c>
      <c r="E2" s="11" t="inlineStr">
        <is>
          <t>Area Overhead
(vs Baseline)</t>
        </is>
      </c>
      <c r="F2" s="11" t="inlineStr">
        <is>
          <t>Speedup</t>
        </is>
      </c>
    </row>
    <row r="3" ht="18" customHeight="1">
      <c r="A3" s="12" t="inlineStr">
        <is>
          <t>-</t>
        </is>
      </c>
      <c r="B3" s="12" t="inlineStr">
        <is>
          <t>-</t>
        </is>
      </c>
      <c r="C3" s="12" t="n">
        <v>87896</v>
      </c>
      <c r="D3" s="12" t="n">
        <v>160149</v>
      </c>
      <c r="E3" s="12" t="inlineStr">
        <is>
          <t>0.00%</t>
        </is>
      </c>
      <c r="F3" s="12" t="inlineStr">
        <is>
          <t>1.00x</t>
        </is>
      </c>
    </row>
    <row r="5" ht="20" customHeight="1">
      <c r="A5" s="10" t="inlineStr">
        <is>
          <t>GEMM — Pareto-Optimal Designs (w/ Custom Instruction)</t>
        </is>
      </c>
    </row>
    <row r="6" ht="30" customHeight="1">
      <c r="A6" s="11" t="inlineStr">
        <is>
          <t># Read Ports</t>
        </is>
      </c>
      <c r="B6" s="11" t="inlineStr">
        <is>
          <t># Unrolls</t>
        </is>
      </c>
      <c r="C6" s="11" t="inlineStr">
        <is>
          <t># Cycles</t>
        </is>
      </c>
      <c r="D6" s="11" t="inlineStr">
        <is>
          <t>Area</t>
        </is>
      </c>
      <c r="E6" s="11" t="inlineStr">
        <is>
          <t>Area Overhead
(vs Baseline)</t>
        </is>
      </c>
      <c r="F6" s="11" t="inlineStr">
        <is>
          <t>Speedup</t>
        </is>
      </c>
    </row>
    <row r="7" ht="18" customHeight="1">
      <c r="A7" s="12" t="inlineStr">
        <is>
          <t>-</t>
        </is>
      </c>
      <c r="B7" s="12" t="inlineStr">
        <is>
          <t>-</t>
        </is>
      </c>
      <c r="C7" s="12" t="n">
        <v>87896</v>
      </c>
      <c r="D7" s="12" t="n">
        <v>160149</v>
      </c>
      <c r="E7" s="12" t="inlineStr">
        <is>
          <t>0.00%</t>
        </is>
      </c>
      <c r="F7" s="12" t="inlineStr">
        <is>
          <t>1.00x</t>
        </is>
      </c>
    </row>
    <row r="8" ht="18" customHeight="1">
      <c r="A8" s="13" t="n">
        <v>1</v>
      </c>
      <c r="B8" s="13" t="n">
        <v>8</v>
      </c>
      <c r="C8" s="13" t="n">
        <v>36851</v>
      </c>
      <c r="D8" s="13" t="n">
        <v>168643</v>
      </c>
      <c r="E8" s="17">
        <f>(D8-$D$7)/$D$7</f>
        <v/>
      </c>
      <c r="F8" s="18">
        <f>$C$7/C8</f>
        <v/>
      </c>
    </row>
    <row r="9" ht="18" customHeight="1">
      <c r="A9" s="14" t="n">
        <v>1</v>
      </c>
      <c r="B9" s="14" t="n">
        <v>4</v>
      </c>
      <c r="C9" s="14" t="n">
        <v>22168</v>
      </c>
      <c r="D9" s="14" t="n">
        <v>169554</v>
      </c>
      <c r="E9" s="19">
        <f>(D9-$D$7)/$D$7</f>
        <v/>
      </c>
      <c r="F9" s="20">
        <f>$C$7/C9</f>
        <v/>
      </c>
    </row>
    <row r="10" ht="18" customHeight="1">
      <c r="A10" s="13" t="n">
        <v>1</v>
      </c>
      <c r="B10" s="13" t="n">
        <v>1</v>
      </c>
      <c r="C10" s="13" t="n">
        <v>22104</v>
      </c>
      <c r="D10" s="13" t="n">
        <v>304623</v>
      </c>
      <c r="E10" s="17">
        <f>(D10-$D$7)/$D$7</f>
        <v/>
      </c>
      <c r="F10" s="18">
        <f>$C$7/C10</f>
        <v/>
      </c>
    </row>
    <row r="11" ht="18" customHeight="1">
      <c r="A11" s="14" t="n">
        <v>2</v>
      </c>
      <c r="B11" s="14" t="n">
        <v>2</v>
      </c>
      <c r="C11" s="14" t="n">
        <v>21592</v>
      </c>
      <c r="D11" s="14" t="n">
        <v>304666</v>
      </c>
      <c r="E11" s="19">
        <f>(D11-$D$7)/$D$7</f>
        <v/>
      </c>
      <c r="F11" s="20">
        <f>$C$7/C11</f>
        <v/>
      </c>
    </row>
    <row r="12" ht="18" customHeight="1">
      <c r="A12" s="13" t="n">
        <v>4</v>
      </c>
      <c r="B12" s="13" t="n">
        <v>2</v>
      </c>
      <c r="C12" s="13" t="n">
        <v>21592</v>
      </c>
      <c r="D12" s="13" t="n">
        <v>304666</v>
      </c>
      <c r="E12" s="17">
        <f>(D12-$D$7)/$D$7</f>
        <v/>
      </c>
      <c r="F12" s="18">
        <f>$C$7/C12</f>
        <v/>
      </c>
    </row>
    <row r="13" ht="18" customHeight="1">
      <c r="A13" s="14" t="n">
        <v>8</v>
      </c>
      <c r="B13" s="14" t="n">
        <v>4</v>
      </c>
      <c r="C13" s="14" t="n">
        <v>21336</v>
      </c>
      <c r="D13" s="14" t="n">
        <v>1135200</v>
      </c>
      <c r="E13" s="19">
        <f>(D13-$D$7)/$D$7</f>
        <v/>
      </c>
      <c r="F13" s="20">
        <f>$C$7/C13</f>
        <v/>
      </c>
    </row>
    <row r="14" ht="18" customHeight="1">
      <c r="A14" s="13" t="n">
        <v>16</v>
      </c>
      <c r="B14" s="13" t="n">
        <v>4</v>
      </c>
      <c r="C14" s="13" t="n">
        <v>21336</v>
      </c>
      <c r="D14" s="13" t="n">
        <v>1135200</v>
      </c>
      <c r="E14" s="17">
        <f>(D14-$D$7)/$D$7</f>
        <v/>
      </c>
      <c r="F14" s="18">
        <f>$C$7/C14</f>
        <v/>
      </c>
    </row>
    <row r="15" ht="18" customHeight="1"/>
  </sheetData>
  <mergeCells count="2">
    <mergeCell ref="A1:F1"/>
    <mergeCell ref="A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cols>
    <col width="9.140625" customWidth="1" style="2" min="1" max="2"/>
    <col width="9.85546875" customWidth="1" style="2" min="3" max="3"/>
    <col width="8.28515625" customWidth="1" style="2" min="4" max="4"/>
    <col width="9.140625" customWidth="1" style="2" min="5" max="6"/>
    <col width="8.7109375" customWidth="1" style="2" min="7" max="7"/>
    <col width="8.140625" customWidth="1" style="2" min="8" max="8"/>
    <col width="9.7109375" customWidth="1" style="2" min="9" max="9"/>
    <col width="8" customWidth="1" style="2" min="10" max="10"/>
    <col width="9.140625" customWidth="1" style="2" min="11" max="13"/>
    <col width="7.140625" customWidth="1" style="2" min="14" max="14"/>
    <col width="7.85546875" customWidth="1" style="2" min="15" max="15"/>
    <col width="9.140625" customWidth="1" style="2" min="16" max="17"/>
    <col width="17.5703125" customWidth="1" style="2" min="18" max="18"/>
    <col width="9.140625" customWidth="1" style="2" min="19" max="20"/>
    <col width="9.140625" customWidth="1" style="2" min="21" max="16384"/>
  </cols>
  <sheetData>
    <row r="1" ht="15" customHeight="1">
      <c r="A1" s="4" t="inlineStr">
        <is>
          <t>Baseline</t>
        </is>
      </c>
      <c r="B1" s="8" t="n"/>
      <c r="C1" s="8" t="n"/>
      <c r="D1" s="8" t="n"/>
      <c r="E1" s="9" t="n"/>
      <c r="G1" s="4" t="inlineStr">
        <is>
          <t>w/ Custom Instruction</t>
        </is>
      </c>
      <c r="H1" s="8" t="n"/>
      <c r="I1" s="8" t="n"/>
      <c r="J1" s="8" t="n"/>
      <c r="K1" s="9" t="n"/>
      <c r="M1" s="4" t="inlineStr">
        <is>
          <t>w/o Custom Instruction</t>
        </is>
      </c>
      <c r="N1" s="8" t="n"/>
      <c r="O1" s="8" t="n"/>
      <c r="P1" s="9" t="n"/>
      <c r="Q1" s="9" t="n"/>
    </row>
    <row r="2" ht="45" customHeight="1">
      <c r="A2" s="4" t="inlineStr">
        <is>
          <t># Read Ports</t>
        </is>
      </c>
      <c r="B2" s="4" t="inlineStr">
        <is>
          <t># Unrolls</t>
        </is>
      </c>
      <c r="C2" s="4" t="inlineStr">
        <is>
          <t># Cycles (RTL sim)</t>
        </is>
      </c>
      <c r="D2" s="4" t="inlineStr">
        <is>
          <t>Latency Index</t>
        </is>
      </c>
      <c r="E2" s="7" t="inlineStr">
        <is>
          <t>Area</t>
        </is>
      </c>
      <c r="G2" s="4" t="inlineStr">
        <is>
          <t># Read Ports</t>
        </is>
      </c>
      <c r="H2" s="4" t="inlineStr">
        <is>
          <t># Unrolls</t>
        </is>
      </c>
      <c r="I2" s="4" t="inlineStr">
        <is>
          <t># Cycles (RTL sim)</t>
        </is>
      </c>
      <c r="J2" s="4" t="inlineStr">
        <is>
          <t>Latency Index</t>
        </is>
      </c>
      <c r="K2" s="7" t="inlineStr">
        <is>
          <t>Area</t>
        </is>
      </c>
      <c r="M2" s="4" t="inlineStr">
        <is>
          <t># Read Ports</t>
        </is>
      </c>
      <c r="N2" s="4" t="inlineStr">
        <is>
          <t># Unrolls</t>
        </is>
      </c>
      <c r="O2" t="inlineStr">
        <is>
          <t># Cycles (RTL Sim)</t>
        </is>
      </c>
      <c r="P2" s="4" t="inlineStr">
        <is>
          <t>Latency Index</t>
        </is>
      </c>
      <c r="Q2" s="7" t="inlineStr">
        <is>
          <t>Area</t>
        </is>
      </c>
    </row>
    <row r="3">
      <c r="A3" s="4" t="n">
        <v>1</v>
      </c>
      <c r="B3" s="4" t="n">
        <v>0</v>
      </c>
      <c r="C3" s="4" t="n">
        <v>87896</v>
      </c>
      <c r="D3" s="4" t="n">
        <v>4</v>
      </c>
      <c r="E3" s="7" t="n">
        <v>160149</v>
      </c>
      <c r="G3" s="4" t="n">
        <v>1</v>
      </c>
      <c r="H3" s="4" t="n">
        <v>0</v>
      </c>
      <c r="I3" s="4" t="n">
        <v>36851</v>
      </c>
      <c r="J3" s="4" t="n">
        <v>19</v>
      </c>
      <c r="K3" s="7" t="n">
        <v>168643</v>
      </c>
      <c r="M3" s="4" t="n">
        <v>1</v>
      </c>
      <c r="N3" s="4" t="n">
        <v>0</v>
      </c>
      <c r="O3" t="n">
        <v>152435</v>
      </c>
      <c r="P3" s="4" t="n">
        <v>19</v>
      </c>
      <c r="Q3" s="7" t="n">
        <v>168643</v>
      </c>
    </row>
    <row r="4">
      <c r="G4" s="4" t="n">
        <v>1</v>
      </c>
      <c r="H4" s="4" t="n">
        <v>1</v>
      </c>
      <c r="I4" s="4" t="n">
        <v>22104</v>
      </c>
      <c r="J4" s="4" t="n">
        <v>20</v>
      </c>
      <c r="K4" s="7" t="n">
        <v>304623</v>
      </c>
      <c r="M4" s="4" t="n">
        <v>1</v>
      </c>
      <c r="N4" s="4" t="n">
        <v>1</v>
      </c>
      <c r="O4" t="n">
        <v>87896</v>
      </c>
      <c r="P4" s="4" t="n">
        <v>20</v>
      </c>
      <c r="Q4" s="7" t="n">
        <v>304623</v>
      </c>
    </row>
    <row r="5">
      <c r="G5" s="4" t="n">
        <v>1</v>
      </c>
      <c r="H5" s="4" t="n">
        <v>2</v>
      </c>
      <c r="I5" s="4" t="n">
        <v>22104</v>
      </c>
      <c r="J5" s="4" t="n">
        <v>20</v>
      </c>
      <c r="K5" s="7" t="n">
        <v>304913</v>
      </c>
      <c r="M5" s="4" t="n">
        <v>1</v>
      </c>
      <c r="N5" s="4" t="n">
        <v>2</v>
      </c>
      <c r="O5" t="n">
        <v>87896</v>
      </c>
      <c r="P5" s="4" t="n">
        <v>20</v>
      </c>
      <c r="Q5" s="7" t="n">
        <v>304913</v>
      </c>
    </row>
    <row r="6">
      <c r="G6" s="4" t="n">
        <v>1</v>
      </c>
      <c r="H6" s="4" t="n">
        <v>4</v>
      </c>
      <c r="I6" s="4" t="n">
        <v>22168</v>
      </c>
      <c r="J6" s="4" t="n">
        <v>21</v>
      </c>
      <c r="K6" s="7" t="n">
        <v>169554</v>
      </c>
      <c r="M6" s="4" t="n">
        <v>1</v>
      </c>
      <c r="N6" s="4" t="n">
        <v>4</v>
      </c>
      <c r="O6" t="n">
        <v>87896</v>
      </c>
      <c r="P6" s="4" t="n">
        <v>21</v>
      </c>
      <c r="Q6" s="7" t="n">
        <v>169554</v>
      </c>
    </row>
    <row r="7">
      <c r="G7" s="4" t="n">
        <v>1</v>
      </c>
      <c r="H7" s="4" t="n">
        <v>8</v>
      </c>
      <c r="I7" s="4" t="n">
        <v>36851</v>
      </c>
      <c r="J7" s="4" t="n">
        <v>19</v>
      </c>
      <c r="K7" s="7" t="n">
        <v>168643</v>
      </c>
      <c r="M7" s="4" t="n">
        <v>1</v>
      </c>
      <c r="N7" s="4" t="n">
        <v>8</v>
      </c>
      <c r="O7" t="n">
        <v>152435</v>
      </c>
      <c r="P7" s="4" t="n">
        <v>19</v>
      </c>
      <c r="Q7" s="7" t="n">
        <v>168643</v>
      </c>
    </row>
    <row r="8">
      <c r="G8" s="4" t="n">
        <v>2</v>
      </c>
      <c r="H8" s="4" t="n">
        <v>0</v>
      </c>
      <c r="I8" s="4" t="n">
        <v>23134</v>
      </c>
      <c r="J8" s="4" t="n">
        <v>11</v>
      </c>
      <c r="K8" s="7" t="n">
        <v>309365</v>
      </c>
      <c r="M8" s="4" t="n">
        <v>2</v>
      </c>
      <c r="N8" s="4" t="n">
        <v>1</v>
      </c>
      <c r="O8" t="n">
        <v>87896</v>
      </c>
      <c r="P8" s="4" t="n">
        <v>11</v>
      </c>
      <c r="Q8" s="7" t="n">
        <v>309365</v>
      </c>
    </row>
    <row r="9">
      <c r="G9" s="4" t="n">
        <v>2</v>
      </c>
      <c r="H9" s="4" t="n">
        <v>1</v>
      </c>
      <c r="I9" s="4" t="n">
        <v>21592</v>
      </c>
      <c r="J9" s="4" t="n">
        <v>12</v>
      </c>
      <c r="K9" s="7" t="n">
        <v>304708</v>
      </c>
      <c r="M9" s="4" t="n">
        <v>2</v>
      </c>
      <c r="N9" s="4" t="n">
        <v>0</v>
      </c>
      <c r="O9" t="n">
        <v>93022</v>
      </c>
      <c r="P9" s="4" t="n">
        <v>12</v>
      </c>
      <c r="Q9" s="7" t="n">
        <v>304708</v>
      </c>
    </row>
    <row r="10">
      <c r="G10" s="4" t="n">
        <v>2</v>
      </c>
      <c r="H10" s="4" t="n">
        <v>2</v>
      </c>
      <c r="I10" s="4" t="n">
        <v>21592</v>
      </c>
      <c r="J10" s="4" t="n">
        <v>12</v>
      </c>
      <c r="K10" s="7" t="n">
        <v>304666</v>
      </c>
      <c r="M10" s="4" t="n">
        <v>2</v>
      </c>
      <c r="N10" s="4" t="n">
        <v>2</v>
      </c>
      <c r="O10" t="n">
        <v>87896</v>
      </c>
      <c r="P10" s="4" t="n">
        <v>12</v>
      </c>
      <c r="Q10" s="7" t="n">
        <v>304666</v>
      </c>
    </row>
    <row r="11">
      <c r="G11" s="4" t="n">
        <v>2</v>
      </c>
      <c r="H11" s="4" t="n">
        <v>4</v>
      </c>
      <c r="I11" s="4" t="n">
        <v>21656</v>
      </c>
      <c r="J11" s="4" t="n">
        <v>13</v>
      </c>
      <c r="K11" s="7" t="n">
        <v>582138</v>
      </c>
      <c r="M11" s="4" t="n">
        <v>2</v>
      </c>
      <c r="N11" s="4" t="n">
        <v>4</v>
      </c>
      <c r="O11" t="n">
        <v>87896</v>
      </c>
      <c r="P11" s="4" t="n">
        <v>13</v>
      </c>
      <c r="Q11" s="7" t="n">
        <v>582138</v>
      </c>
    </row>
    <row r="12">
      <c r="G12" s="4" t="n">
        <v>2</v>
      </c>
      <c r="H12" s="4" t="n">
        <v>8</v>
      </c>
      <c r="I12" s="4" t="n">
        <v>23134</v>
      </c>
      <c r="J12" s="4" t="n">
        <v>11</v>
      </c>
      <c r="K12" s="7" t="n">
        <v>309365</v>
      </c>
      <c r="M12" s="4" t="n">
        <v>2</v>
      </c>
      <c r="N12" s="4" t="n">
        <v>8</v>
      </c>
      <c r="O12" t="n">
        <v>93022</v>
      </c>
      <c r="P12" s="4" t="n">
        <v>11</v>
      </c>
      <c r="Q12" s="7" t="n">
        <v>309365</v>
      </c>
    </row>
    <row r="13">
      <c r="G13" s="4" t="n">
        <v>4</v>
      </c>
      <c r="H13" s="4" t="n">
        <v>0</v>
      </c>
      <c r="I13" s="4" t="n">
        <v>31108</v>
      </c>
      <c r="J13" s="4" t="n">
        <v>8</v>
      </c>
      <c r="K13" s="7" t="n">
        <v>862160</v>
      </c>
      <c r="M13" s="4" t="n">
        <v>4</v>
      </c>
      <c r="N13" s="4" t="n">
        <v>0</v>
      </c>
      <c r="O13" t="n">
        <v>125700</v>
      </c>
      <c r="P13" s="4" t="n">
        <v>8</v>
      </c>
      <c r="Q13" s="7" t="n">
        <v>862160</v>
      </c>
    </row>
    <row r="14">
      <c r="G14" s="4" t="n">
        <v>4</v>
      </c>
      <c r="H14" s="4" t="n">
        <v>1</v>
      </c>
      <c r="I14" s="4" t="n">
        <v>21592</v>
      </c>
      <c r="J14" s="4" t="n">
        <v>12</v>
      </c>
      <c r="K14" s="7" t="n">
        <v>304708</v>
      </c>
      <c r="M14" s="4" t="n">
        <v>4</v>
      </c>
      <c r="N14" s="4" t="n">
        <v>1</v>
      </c>
      <c r="O14" t="n">
        <v>87896</v>
      </c>
      <c r="P14" s="4" t="n">
        <v>12</v>
      </c>
      <c r="Q14" s="7" t="n">
        <v>304708</v>
      </c>
    </row>
    <row r="15">
      <c r="G15" s="4" t="n">
        <v>4</v>
      </c>
      <c r="H15" s="4" t="n">
        <v>2</v>
      </c>
      <c r="I15" s="4" t="n">
        <v>21592</v>
      </c>
      <c r="J15" s="4" t="n">
        <v>12</v>
      </c>
      <c r="K15" s="7" t="n">
        <v>304666</v>
      </c>
      <c r="M15" s="4" t="n">
        <v>4</v>
      </c>
      <c r="N15" s="4" t="n">
        <v>2</v>
      </c>
      <c r="O15" t="n">
        <v>87896</v>
      </c>
      <c r="P15" s="4" t="n">
        <v>12</v>
      </c>
      <c r="Q15" s="7" t="n">
        <v>304666</v>
      </c>
    </row>
    <row r="16">
      <c r="G16" s="4" t="n">
        <v>4</v>
      </c>
      <c r="H16" s="4" t="n">
        <v>4</v>
      </c>
      <c r="I16" s="4" t="n">
        <v>21400</v>
      </c>
      <c r="J16" s="4" t="n">
        <v>9</v>
      </c>
      <c r="K16" s="7" t="n">
        <v>997640</v>
      </c>
      <c r="M16" s="4" t="n">
        <v>4</v>
      </c>
      <c r="N16" s="4" t="n">
        <v>4</v>
      </c>
      <c r="O16" t="n">
        <v>87896</v>
      </c>
      <c r="P16" s="4" t="n">
        <v>9</v>
      </c>
      <c r="Q16" s="7" t="n">
        <v>997640</v>
      </c>
    </row>
    <row r="17">
      <c r="G17" s="4" t="n">
        <v>4</v>
      </c>
      <c r="H17" s="4" t="n">
        <v>8</v>
      </c>
      <c r="I17" s="4" t="n">
        <v>31108</v>
      </c>
      <c r="J17" s="4" t="n">
        <v>8</v>
      </c>
      <c r="K17" s="7" t="n">
        <v>862160</v>
      </c>
      <c r="M17" s="4" t="n">
        <v>4</v>
      </c>
      <c r="N17" s="4" t="n">
        <v>8</v>
      </c>
      <c r="O17" t="n">
        <v>125700</v>
      </c>
      <c r="P17" s="4" t="n">
        <v>8</v>
      </c>
      <c r="Q17" s="7" t="n">
        <v>862160</v>
      </c>
    </row>
    <row r="18">
      <c r="G18" s="4" t="n">
        <v>8</v>
      </c>
      <c r="H18" s="4" t="n">
        <v>0</v>
      </c>
      <c r="I18" s="4" t="n">
        <v>30980</v>
      </c>
      <c r="J18" s="4" t="n">
        <v>6</v>
      </c>
      <c r="K18" s="7" t="n">
        <v>1694599</v>
      </c>
      <c r="M18" s="4" t="n">
        <v>8</v>
      </c>
      <c r="N18" s="4" t="n">
        <v>0</v>
      </c>
      <c r="O18" t="n">
        <v>125700</v>
      </c>
      <c r="P18" s="4" t="n">
        <v>6</v>
      </c>
      <c r="Q18" s="7" t="n">
        <v>1694599</v>
      </c>
    </row>
    <row r="19">
      <c r="G19" s="4" t="n">
        <v>8</v>
      </c>
      <c r="H19" s="4" t="n">
        <v>1</v>
      </c>
      <c r="I19" s="4" t="n">
        <v>21592</v>
      </c>
      <c r="J19" s="4" t="n">
        <v>12</v>
      </c>
      <c r="K19" s="7" t="n">
        <v>304708</v>
      </c>
      <c r="M19" s="4" t="n">
        <v>8</v>
      </c>
      <c r="N19" s="4" t="n">
        <v>1</v>
      </c>
      <c r="O19" t="n">
        <v>87896</v>
      </c>
      <c r="P19" s="4" t="n">
        <v>12</v>
      </c>
      <c r="Q19" s="7" t="n">
        <v>304708</v>
      </c>
    </row>
    <row r="20">
      <c r="G20" s="4" t="n">
        <v>8</v>
      </c>
      <c r="H20" s="4" t="n">
        <v>2</v>
      </c>
      <c r="I20" s="4" t="n">
        <v>21592</v>
      </c>
      <c r="J20" s="4" t="n">
        <v>12</v>
      </c>
      <c r="K20" s="7" t="n">
        <v>577915</v>
      </c>
      <c r="M20" s="4" t="n">
        <v>8</v>
      </c>
      <c r="N20" s="4" t="n">
        <v>2</v>
      </c>
      <c r="O20" t="n">
        <v>87896</v>
      </c>
      <c r="P20" s="4" t="n">
        <v>12</v>
      </c>
      <c r="Q20" s="7" t="n">
        <v>577915</v>
      </c>
    </row>
    <row r="21">
      <c r="G21" s="4" t="n">
        <v>8</v>
      </c>
      <c r="H21" s="4" t="n">
        <v>4</v>
      </c>
      <c r="I21" s="4" t="n">
        <v>21336</v>
      </c>
      <c r="J21" s="4" t="n">
        <v>8</v>
      </c>
      <c r="K21" s="7" t="n">
        <v>1135200</v>
      </c>
      <c r="M21" s="4" t="n">
        <v>8</v>
      </c>
      <c r="N21" s="4" t="n">
        <v>4</v>
      </c>
      <c r="O21" t="n">
        <v>87896</v>
      </c>
      <c r="P21" s="4" t="n">
        <v>8</v>
      </c>
      <c r="Q21" s="7" t="n">
        <v>1135200</v>
      </c>
    </row>
    <row r="22">
      <c r="G22" s="4" t="n">
        <v>8</v>
      </c>
      <c r="H22" s="4" t="n">
        <v>8</v>
      </c>
      <c r="I22" s="4" t="n">
        <v>30980</v>
      </c>
      <c r="J22" s="4" t="n">
        <v>6</v>
      </c>
      <c r="K22" s="7" t="n">
        <v>1694599</v>
      </c>
      <c r="M22" s="4" t="n">
        <v>8</v>
      </c>
      <c r="N22" s="4" t="n">
        <v>8</v>
      </c>
      <c r="O22" t="n">
        <v>125700</v>
      </c>
      <c r="P22" s="4" t="n">
        <v>6</v>
      </c>
      <c r="Q22" s="7" t="n">
        <v>1694599</v>
      </c>
    </row>
    <row r="23">
      <c r="G23" s="4" t="n">
        <v>16</v>
      </c>
      <c r="H23" s="4" t="n">
        <v>0</v>
      </c>
      <c r="I23" s="4" t="n">
        <v>30980</v>
      </c>
      <c r="J23" s="4" t="n">
        <v>6</v>
      </c>
      <c r="K23" s="7" t="n">
        <v>1422675</v>
      </c>
      <c r="M23" s="4" t="n">
        <v>16</v>
      </c>
      <c r="N23" s="4" t="n">
        <v>0</v>
      </c>
      <c r="O23" t="n">
        <v>125700</v>
      </c>
      <c r="P23" s="4" t="n">
        <v>6</v>
      </c>
      <c r="Q23" s="7" t="n">
        <v>1422675</v>
      </c>
    </row>
    <row r="24">
      <c r="G24" s="4" t="n">
        <v>16</v>
      </c>
      <c r="H24" s="4" t="n">
        <v>1</v>
      </c>
      <c r="I24" s="4" t="n">
        <v>21592</v>
      </c>
      <c r="J24" s="4" t="n">
        <v>12</v>
      </c>
      <c r="K24" s="7" t="n">
        <v>304708</v>
      </c>
      <c r="M24" s="4" t="n">
        <v>16</v>
      </c>
      <c r="N24" s="4" t="n">
        <v>1</v>
      </c>
      <c r="O24" t="n">
        <v>87896</v>
      </c>
      <c r="P24" s="4" t="n">
        <v>12</v>
      </c>
      <c r="Q24" s="7" t="n">
        <v>304708</v>
      </c>
    </row>
    <row r="25">
      <c r="G25" s="4" t="n">
        <v>16</v>
      </c>
      <c r="H25" s="4" t="n">
        <v>2</v>
      </c>
      <c r="I25" s="4" t="n">
        <v>21592</v>
      </c>
      <c r="J25" s="4" t="n">
        <v>12</v>
      </c>
      <c r="K25" s="7" t="n">
        <v>577915</v>
      </c>
      <c r="M25" s="4" t="n">
        <v>16</v>
      </c>
      <c r="N25" s="4" t="n">
        <v>2</v>
      </c>
      <c r="O25" t="n">
        <v>87896</v>
      </c>
      <c r="P25" s="4" t="n">
        <v>12</v>
      </c>
      <c r="Q25" s="7" t="n">
        <v>577915</v>
      </c>
    </row>
    <row r="26">
      <c r="G26" s="4" t="n">
        <v>16</v>
      </c>
      <c r="H26" s="4" t="n">
        <v>4</v>
      </c>
      <c r="I26" s="4" t="n">
        <v>21336</v>
      </c>
      <c r="J26" s="4" t="n">
        <v>8</v>
      </c>
      <c r="K26" s="7" t="n">
        <v>1135200</v>
      </c>
      <c r="M26" s="4" t="n">
        <v>16</v>
      </c>
      <c r="N26" s="4" t="n">
        <v>4</v>
      </c>
      <c r="O26" t="n">
        <v>87896</v>
      </c>
      <c r="P26" s="4" t="n">
        <v>8</v>
      </c>
      <c r="Q26" s="7" t="n">
        <v>1135200</v>
      </c>
    </row>
    <row r="27">
      <c r="G27" s="4" t="n">
        <v>16</v>
      </c>
      <c r="H27" s="4" t="n">
        <v>8</v>
      </c>
      <c r="I27" s="4" t="n">
        <v>30980</v>
      </c>
      <c r="J27" s="4" t="n">
        <v>6</v>
      </c>
      <c r="K27" s="7" t="n">
        <v>1422675</v>
      </c>
      <c r="M27" s="4" t="n">
        <v>16</v>
      </c>
      <c r="N27" s="4" t="n">
        <v>8</v>
      </c>
      <c r="O27" t="n">
        <v>125700</v>
      </c>
      <c r="P27" s="4" t="n">
        <v>6</v>
      </c>
      <c r="Q27" s="7" t="n">
        <v>1422675</v>
      </c>
    </row>
  </sheetData>
  <mergeCells count="3">
    <mergeCell ref="M1:P1"/>
    <mergeCell ref="A1:E1"/>
    <mergeCell ref="G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Cheah, Edison Brendan</dc:creator>
  <dcterms:created xsi:type="dcterms:W3CDTF">2026-04-25T23:53:27Z</dcterms:created>
  <dcterms:modified xsi:type="dcterms:W3CDTF">2026-04-27T20:20:42Z</dcterms:modified>
  <cp:lastModifiedBy>Cheah, Edison Brendan</cp:lastModifiedBy>
</cp:coreProperties>
</file>